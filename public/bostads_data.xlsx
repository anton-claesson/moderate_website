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/Repos/moderate_website/public/"/>
    </mc:Choice>
  </mc:AlternateContent>
  <xr:revisionPtr revIDLastSave="0" documentId="13_ncr:1_{9F0E214D-3858-C746-9A3A-2175DFA6ADB4}" xr6:coauthVersionLast="47" xr6:coauthVersionMax="47" xr10:uidLastSave="{00000000-0000-0000-0000-000000000000}"/>
  <bookViews>
    <workbookView xWindow="2680" yWindow="1600" windowWidth="28240" windowHeight="17240" xr2:uid="{7D5C1161-8802-4E42-AC66-A3E360909D2E}"/>
  </bookViews>
  <sheets>
    <sheet name="Tabelle1" sheetId="1" r:id="rId1"/>
  </sheets>
  <definedNames>
    <definedName name="_ftnref1" localSheetId="0">Tabelle1!$A$1</definedName>
    <definedName name="_ftnref2" localSheetId="0">Tabelle1!$E$1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" i="1"/>
  <c r="J11" i="1"/>
  <c r="J14" i="1"/>
  <c r="J17" i="1"/>
  <c r="J18" i="1"/>
  <c r="J19" i="1"/>
  <c r="J22" i="1"/>
  <c r="J25" i="1"/>
  <c r="J26" i="1"/>
  <c r="J27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I12" i="1"/>
  <c r="J12" i="1" s="1"/>
  <c r="I13" i="1"/>
  <c r="J13" i="1" s="1"/>
  <c r="I14" i="1"/>
  <c r="I15" i="1"/>
  <c r="J15" i="1" s="1"/>
  <c r="I16" i="1"/>
  <c r="J16" i="1" s="1"/>
  <c r="I17" i="1"/>
  <c r="I18" i="1"/>
  <c r="I19" i="1"/>
  <c r="I20" i="1"/>
  <c r="J20" i="1" s="1"/>
  <c r="I21" i="1"/>
  <c r="J21" i="1" s="1"/>
  <c r="I22" i="1"/>
  <c r="I23" i="1"/>
  <c r="J23" i="1" s="1"/>
  <c r="I24" i="1"/>
  <c r="J24" i="1" s="1"/>
  <c r="I25" i="1"/>
  <c r="I26" i="1"/>
  <c r="I2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I2" i="1"/>
  <c r="J2" i="1" s="1"/>
</calcChain>
</file>

<file path=xl/sharedStrings.xml><?xml version="1.0" encoding="utf-8"?>
<sst xmlns="http://schemas.openxmlformats.org/spreadsheetml/2006/main" count="38" uniqueCount="38">
  <si>
    <t>Antal bostäder 2022</t>
  </si>
  <si>
    <t>Antal småhus</t>
  </si>
  <si>
    <t>Antal flerbostadshus</t>
  </si>
  <si>
    <t>Tillskott 2060 (hög)</t>
  </si>
  <si>
    <t>Botkyrka</t>
  </si>
  <si>
    <t>Danderyd</t>
  </si>
  <si>
    <t>Ekerö</t>
  </si>
  <si>
    <t>Haninge</t>
  </si>
  <si>
    <t xml:space="preserve">Huddinge </t>
  </si>
  <si>
    <t xml:space="preserve">Järfälla </t>
  </si>
  <si>
    <t xml:space="preserve">Lidingö </t>
  </si>
  <si>
    <t xml:space="preserve">Nacka </t>
  </si>
  <si>
    <t xml:space="preserve">Norrtälje </t>
  </si>
  <si>
    <t xml:space="preserve">Nykvarn </t>
  </si>
  <si>
    <t xml:space="preserve">Nynäshamn </t>
  </si>
  <si>
    <t>Salem</t>
  </si>
  <si>
    <t xml:space="preserve">Sigtuna </t>
  </si>
  <si>
    <t xml:space="preserve">Sollentuna </t>
  </si>
  <si>
    <t>Solna</t>
  </si>
  <si>
    <t xml:space="preserve">Stockholm </t>
  </si>
  <si>
    <t xml:space="preserve">Sundbyberg </t>
  </si>
  <si>
    <t xml:space="preserve">Södertälje </t>
  </si>
  <si>
    <t xml:space="preserve">Tyresö </t>
  </si>
  <si>
    <t>Täby</t>
  </si>
  <si>
    <t>Upplands-Bro</t>
  </si>
  <si>
    <t>Upplands-Väsby</t>
  </si>
  <si>
    <t>Vallentuna</t>
  </si>
  <si>
    <t>Vaxholm</t>
  </si>
  <si>
    <t>Värmdö</t>
  </si>
  <si>
    <t>Österåker</t>
  </si>
  <si>
    <t>Kommun</t>
  </si>
  <si>
    <t>Tillskott 2060 (låg)</t>
  </si>
  <si>
    <t>Antal småhus + flerbostadshus</t>
  </si>
  <si>
    <t>Tillskott 2060 (låg,%)</t>
  </si>
  <si>
    <t>Tillskott 2060 (hög, %)</t>
  </si>
  <si>
    <t>Antal bostäder - Clm I</t>
  </si>
  <si>
    <t>Antal flerbostadshus 2060 (hög)</t>
  </si>
  <si>
    <t>Förtätning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</si>
</sst>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rial"/>
      <family val="2"/>
    </font>
    <font>
      <vertAlign val="superscript"/>
      <sz val="10"/>
      <color theme="1"/>
      <name val="Aptos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right" vertical="center" wrapText="1"/>
    </xf>
    <xf numFmtId="164" fontId="0" fillId="0" borderId="0" xfId="0" applyNumberFormat="1"/>
    <xf numFmtId="164" fontId="3" fillId="0" borderId="1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4554-A23A-9A4B-945B-D57576865BE1}">
  <dimension ref="A1:L31"/>
  <sheetViews>
    <sheetView tabSelected="1" topLeftCell="B1" workbookViewId="0">
      <selection activeCell="L4" sqref="L4"/>
    </sheetView>
  </sheetViews>
  <sheetFormatPr baseColWidth="10" defaultRowHeight="16" x14ac:dyDescent="0.2"/>
  <cols>
    <col min="1" max="1" width="17.6640625" customWidth="1"/>
    <col min="2" max="2" width="17.1640625" customWidth="1"/>
    <col min="3" max="3" width="14.1640625" customWidth="1"/>
    <col min="4" max="4" width="18.83203125" customWidth="1"/>
    <col min="5" max="5" width="20" customWidth="1"/>
    <col min="6" max="6" width="20" style="9" customWidth="1"/>
    <col min="7" max="7" width="20.33203125" customWidth="1"/>
    <col min="8" max="8" width="22" style="9" customWidth="1"/>
    <col min="9" max="9" width="26.1640625" style="11" customWidth="1"/>
    <col min="10" max="10" width="22.1640625" customWidth="1"/>
    <col min="11" max="11" width="28.83203125" customWidth="1"/>
    <col min="12" max="12" width="10.83203125" style="11"/>
  </cols>
  <sheetData>
    <row r="1" spans="1:12" ht="34" x14ac:dyDescent="0.2">
      <c r="A1" s="5" t="s">
        <v>30</v>
      </c>
      <c r="B1" s="4" t="s">
        <v>0</v>
      </c>
      <c r="C1" s="4" t="s">
        <v>1</v>
      </c>
      <c r="D1" s="4" t="s">
        <v>2</v>
      </c>
      <c r="E1" s="3" t="s">
        <v>31</v>
      </c>
      <c r="F1" s="7" t="s">
        <v>33</v>
      </c>
      <c r="G1" s="4" t="s">
        <v>3</v>
      </c>
      <c r="H1" s="10" t="s">
        <v>34</v>
      </c>
      <c r="I1" s="12" t="s">
        <v>32</v>
      </c>
      <c r="J1" s="13" t="s">
        <v>35</v>
      </c>
      <c r="K1" s="13" t="s">
        <v>36</v>
      </c>
      <c r="L1" s="14" t="s">
        <v>37</v>
      </c>
    </row>
    <row r="2" spans="1:12" ht="17" x14ac:dyDescent="0.2">
      <c r="A2" s="6" t="s">
        <v>4</v>
      </c>
      <c r="B2" s="2">
        <v>37200</v>
      </c>
      <c r="C2" s="2">
        <v>12540</v>
      </c>
      <c r="D2" s="2">
        <v>22861</v>
      </c>
      <c r="E2" s="2">
        <v>13200</v>
      </c>
      <c r="F2" s="8">
        <f>E2/B2*100</f>
        <v>35.483870967741936</v>
      </c>
      <c r="G2" s="2">
        <v>17000</v>
      </c>
      <c r="H2" s="9">
        <f>G2/B2*100</f>
        <v>45.698924731182792</v>
      </c>
      <c r="I2" s="11">
        <f>C2+D2</f>
        <v>35401</v>
      </c>
      <c r="J2" s="11">
        <f>B2-I2</f>
        <v>1799</v>
      </c>
      <c r="K2">
        <f>D2+G2</f>
        <v>39861</v>
      </c>
      <c r="L2" s="11">
        <f>G2/D2*100</f>
        <v>74.362451336336989</v>
      </c>
    </row>
    <row r="3" spans="1:12" ht="17" x14ac:dyDescent="0.2">
      <c r="A3" s="6" t="s">
        <v>5</v>
      </c>
      <c r="B3" s="2">
        <v>13600</v>
      </c>
      <c r="C3" s="2">
        <v>6859</v>
      </c>
      <c r="D3" s="2">
        <v>6041</v>
      </c>
      <c r="E3" s="2">
        <v>2800</v>
      </c>
      <c r="F3" s="8">
        <f t="shared" ref="F3:F27" si="0">E3/B3*100</f>
        <v>20.588235294117645</v>
      </c>
      <c r="G3" s="2">
        <v>4700</v>
      </c>
      <c r="H3" s="9">
        <f t="shared" ref="H3:H27" si="1">G3/B3*100</f>
        <v>34.558823529411761</v>
      </c>
      <c r="I3" s="11">
        <f t="shared" ref="I3:I27" si="2">C3+D3</f>
        <v>12900</v>
      </c>
      <c r="J3" s="11">
        <f t="shared" ref="J3:J27" si="3">B3-I3</f>
        <v>700</v>
      </c>
      <c r="K3">
        <f t="shared" ref="K3:K27" si="4">D3+G3</f>
        <v>10741</v>
      </c>
      <c r="L3" s="11">
        <f t="shared" ref="L3:L27" si="5">G3/D3*100</f>
        <v>77.801688462175136</v>
      </c>
    </row>
    <row r="4" spans="1:12" ht="17" x14ac:dyDescent="0.2">
      <c r="A4" s="6" t="s">
        <v>6</v>
      </c>
      <c r="B4" s="2">
        <v>10700</v>
      </c>
      <c r="C4" s="2">
        <v>8844</v>
      </c>
      <c r="D4" s="2">
        <v>1452</v>
      </c>
      <c r="E4" s="2">
        <v>2800</v>
      </c>
      <c r="F4" s="8">
        <f t="shared" si="0"/>
        <v>26.168224299065418</v>
      </c>
      <c r="G4" s="2">
        <v>5600</v>
      </c>
      <c r="H4" s="9">
        <f t="shared" si="1"/>
        <v>52.336448598130836</v>
      </c>
      <c r="I4" s="11">
        <f t="shared" si="2"/>
        <v>10296</v>
      </c>
      <c r="J4" s="11">
        <f t="shared" si="3"/>
        <v>404</v>
      </c>
      <c r="K4">
        <f t="shared" si="4"/>
        <v>7052</v>
      </c>
      <c r="L4" s="11">
        <f t="shared" si="5"/>
        <v>385.67493112947659</v>
      </c>
    </row>
    <row r="5" spans="1:12" ht="17" x14ac:dyDescent="0.2">
      <c r="A5" s="6" t="s">
        <v>7</v>
      </c>
      <c r="B5" s="2">
        <v>40100</v>
      </c>
      <c r="C5" s="2">
        <v>15664</v>
      </c>
      <c r="D5" s="2">
        <v>22691</v>
      </c>
      <c r="E5" s="2">
        <v>13200</v>
      </c>
      <c r="F5" s="8">
        <f t="shared" si="0"/>
        <v>32.917705735660846</v>
      </c>
      <c r="G5" s="2">
        <v>20800</v>
      </c>
      <c r="H5" s="9">
        <f t="shared" si="1"/>
        <v>51.870324189526187</v>
      </c>
      <c r="I5" s="11">
        <f t="shared" si="2"/>
        <v>38355</v>
      </c>
      <c r="J5" s="11">
        <f t="shared" si="3"/>
        <v>1745</v>
      </c>
      <c r="K5">
        <f t="shared" si="4"/>
        <v>43491</v>
      </c>
      <c r="L5" s="11">
        <f t="shared" si="5"/>
        <v>91.666299413864522</v>
      </c>
    </row>
    <row r="6" spans="1:12" ht="17" x14ac:dyDescent="0.2">
      <c r="A6" s="6" t="s">
        <v>8</v>
      </c>
      <c r="B6" s="2">
        <v>46700</v>
      </c>
      <c r="C6" s="2">
        <v>19620</v>
      </c>
      <c r="D6" s="2">
        <v>23678</v>
      </c>
      <c r="E6" s="2">
        <v>22600</v>
      </c>
      <c r="F6" s="8">
        <f t="shared" si="0"/>
        <v>48.394004282655246</v>
      </c>
      <c r="G6" s="2">
        <v>32200</v>
      </c>
      <c r="H6" s="9">
        <f t="shared" si="1"/>
        <v>68.950749464668093</v>
      </c>
      <c r="I6" s="11">
        <f t="shared" si="2"/>
        <v>43298</v>
      </c>
      <c r="J6" s="11">
        <f t="shared" si="3"/>
        <v>3402</v>
      </c>
      <c r="K6">
        <f t="shared" si="4"/>
        <v>55878</v>
      </c>
      <c r="L6" s="11">
        <f t="shared" si="5"/>
        <v>135.99121547427993</v>
      </c>
    </row>
    <row r="7" spans="1:12" ht="17" x14ac:dyDescent="0.2">
      <c r="A7" s="6" t="s">
        <v>9</v>
      </c>
      <c r="B7" s="2">
        <v>37700</v>
      </c>
      <c r="C7" s="2">
        <v>11401</v>
      </c>
      <c r="D7" s="2">
        <v>24818</v>
      </c>
      <c r="E7" s="2">
        <v>18800</v>
      </c>
      <c r="F7" s="8">
        <f t="shared" si="0"/>
        <v>49.867374005305038</v>
      </c>
      <c r="G7" s="2">
        <v>28400</v>
      </c>
      <c r="H7" s="9">
        <f t="shared" si="1"/>
        <v>75.331564986737405</v>
      </c>
      <c r="I7" s="11">
        <f t="shared" si="2"/>
        <v>36219</v>
      </c>
      <c r="J7" s="11">
        <f t="shared" si="3"/>
        <v>1481</v>
      </c>
      <c r="K7">
        <f t="shared" si="4"/>
        <v>53218</v>
      </c>
      <c r="L7" s="11">
        <f t="shared" si="5"/>
        <v>114.43307276976388</v>
      </c>
    </row>
    <row r="8" spans="1:12" ht="17" x14ac:dyDescent="0.2">
      <c r="A8" s="6" t="s">
        <v>10</v>
      </c>
      <c r="B8" s="2">
        <v>22600</v>
      </c>
      <c r="C8" s="2">
        <v>7295</v>
      </c>
      <c r="D8" s="2">
        <v>13645</v>
      </c>
      <c r="E8" s="2">
        <v>2800</v>
      </c>
      <c r="F8" s="8">
        <f t="shared" si="0"/>
        <v>12.389380530973451</v>
      </c>
      <c r="G8" s="2">
        <v>5600</v>
      </c>
      <c r="H8" s="9">
        <f t="shared" si="1"/>
        <v>24.778761061946902</v>
      </c>
      <c r="I8" s="11">
        <f t="shared" si="2"/>
        <v>20940</v>
      </c>
      <c r="J8" s="11">
        <f t="shared" si="3"/>
        <v>1660</v>
      </c>
      <c r="K8">
        <f t="shared" si="4"/>
        <v>19245</v>
      </c>
      <c r="L8" s="11">
        <f t="shared" si="5"/>
        <v>41.040674239648226</v>
      </c>
    </row>
    <row r="9" spans="1:12" ht="17" x14ac:dyDescent="0.2">
      <c r="A9" s="6" t="s">
        <v>11</v>
      </c>
      <c r="B9" s="2">
        <v>46700</v>
      </c>
      <c r="C9" s="2">
        <v>16172</v>
      </c>
      <c r="D9" s="2">
        <v>28075</v>
      </c>
      <c r="E9" s="2">
        <v>19800</v>
      </c>
      <c r="F9" s="8">
        <f t="shared" si="0"/>
        <v>42.398286937901496</v>
      </c>
      <c r="G9" s="2">
        <v>26600</v>
      </c>
      <c r="H9" s="9">
        <f t="shared" si="1"/>
        <v>56.9593147751606</v>
      </c>
      <c r="I9" s="11">
        <f t="shared" si="2"/>
        <v>44247</v>
      </c>
      <c r="J9" s="11">
        <f t="shared" si="3"/>
        <v>2453</v>
      </c>
      <c r="K9">
        <f t="shared" si="4"/>
        <v>54675</v>
      </c>
      <c r="L9" s="11">
        <f t="shared" si="5"/>
        <v>94.746215494211924</v>
      </c>
    </row>
    <row r="10" spans="1:12" ht="17" x14ac:dyDescent="0.2">
      <c r="A10" s="6" t="s">
        <v>12</v>
      </c>
      <c r="B10" s="2">
        <v>33800</v>
      </c>
      <c r="C10" s="2">
        <v>19067</v>
      </c>
      <c r="D10" s="2">
        <v>12578</v>
      </c>
      <c r="E10" s="2">
        <v>9400</v>
      </c>
      <c r="F10" s="8">
        <f t="shared" si="0"/>
        <v>27.810650887573964</v>
      </c>
      <c r="G10" s="2">
        <v>17000</v>
      </c>
      <c r="H10" s="9">
        <f t="shared" si="1"/>
        <v>50.295857988165679</v>
      </c>
      <c r="I10" s="11">
        <f t="shared" si="2"/>
        <v>31645</v>
      </c>
      <c r="J10" s="11">
        <f t="shared" si="3"/>
        <v>2155</v>
      </c>
      <c r="K10">
        <f t="shared" si="4"/>
        <v>29578</v>
      </c>
      <c r="L10" s="11">
        <f t="shared" si="5"/>
        <v>135.15662267451106</v>
      </c>
    </row>
    <row r="11" spans="1:12" ht="17" x14ac:dyDescent="0.2">
      <c r="A11" s="6" t="s">
        <v>13</v>
      </c>
      <c r="B11" s="2">
        <v>4500</v>
      </c>
      <c r="C11" s="2">
        <v>2951</v>
      </c>
      <c r="D11" s="2">
        <v>1474</v>
      </c>
      <c r="E11" s="2">
        <v>1900</v>
      </c>
      <c r="F11" s="8">
        <f t="shared" si="0"/>
        <v>42.222222222222221</v>
      </c>
      <c r="G11" s="2">
        <v>3800</v>
      </c>
      <c r="H11" s="9">
        <f t="shared" si="1"/>
        <v>84.444444444444443</v>
      </c>
      <c r="I11" s="11">
        <f t="shared" si="2"/>
        <v>4425</v>
      </c>
      <c r="J11" s="11">
        <f t="shared" si="3"/>
        <v>75</v>
      </c>
      <c r="K11">
        <f t="shared" si="4"/>
        <v>5274</v>
      </c>
      <c r="L11" s="11">
        <f t="shared" si="5"/>
        <v>257.80189959294432</v>
      </c>
    </row>
    <row r="12" spans="1:12" ht="17" x14ac:dyDescent="0.2">
      <c r="A12" s="6" t="s">
        <v>14</v>
      </c>
      <c r="B12" s="2">
        <v>13700</v>
      </c>
      <c r="C12" s="2">
        <v>6289</v>
      </c>
      <c r="D12" s="2">
        <v>7284</v>
      </c>
      <c r="E12" s="2">
        <v>2800</v>
      </c>
      <c r="F12" s="8">
        <f t="shared" si="0"/>
        <v>20.437956204379564</v>
      </c>
      <c r="G12" s="2">
        <v>5600</v>
      </c>
      <c r="H12" s="9">
        <f t="shared" si="1"/>
        <v>40.875912408759127</v>
      </c>
      <c r="I12" s="11">
        <f t="shared" si="2"/>
        <v>13573</v>
      </c>
      <c r="J12" s="11">
        <f t="shared" si="3"/>
        <v>127</v>
      </c>
      <c r="K12">
        <f t="shared" si="4"/>
        <v>12884</v>
      </c>
      <c r="L12" s="11">
        <f t="shared" si="5"/>
        <v>76.880834706205377</v>
      </c>
    </row>
    <row r="13" spans="1:12" ht="17" x14ac:dyDescent="0.2">
      <c r="A13" s="6" t="s">
        <v>15</v>
      </c>
      <c r="B13" s="2">
        <v>6900</v>
      </c>
      <c r="C13" s="2">
        <v>3761</v>
      </c>
      <c r="D13" s="2">
        <v>2797</v>
      </c>
      <c r="E13" s="2">
        <v>1900</v>
      </c>
      <c r="F13" s="8">
        <f t="shared" si="0"/>
        <v>27.536231884057973</v>
      </c>
      <c r="G13" s="2">
        <v>3800</v>
      </c>
      <c r="H13" s="9">
        <f t="shared" si="1"/>
        <v>55.072463768115945</v>
      </c>
      <c r="I13" s="11">
        <f t="shared" si="2"/>
        <v>6558</v>
      </c>
      <c r="J13" s="11">
        <f t="shared" si="3"/>
        <v>342</v>
      </c>
      <c r="K13">
        <f t="shared" si="4"/>
        <v>6597</v>
      </c>
      <c r="L13" s="11">
        <f t="shared" si="5"/>
        <v>135.85984983911334</v>
      </c>
    </row>
    <row r="14" spans="1:12" ht="17" x14ac:dyDescent="0.2">
      <c r="A14" s="6" t="s">
        <v>16</v>
      </c>
      <c r="B14" s="2">
        <v>20700</v>
      </c>
      <c r="C14" s="2">
        <v>6992</v>
      </c>
      <c r="D14" s="2">
        <v>12780</v>
      </c>
      <c r="E14" s="2">
        <v>7600</v>
      </c>
      <c r="F14" s="8">
        <f t="shared" si="0"/>
        <v>36.714975845410628</v>
      </c>
      <c r="G14" s="2">
        <v>11400</v>
      </c>
      <c r="H14" s="9">
        <f t="shared" si="1"/>
        <v>55.072463768115945</v>
      </c>
      <c r="I14" s="11">
        <f t="shared" si="2"/>
        <v>19772</v>
      </c>
      <c r="J14" s="11">
        <f t="shared" si="3"/>
        <v>928</v>
      </c>
      <c r="K14">
        <f t="shared" si="4"/>
        <v>24180</v>
      </c>
      <c r="L14" s="11">
        <f t="shared" si="5"/>
        <v>89.201877934272304</v>
      </c>
    </row>
    <row r="15" spans="1:12" ht="17" x14ac:dyDescent="0.2">
      <c r="A15" s="6" t="s">
        <v>17</v>
      </c>
      <c r="B15" s="2">
        <v>32400</v>
      </c>
      <c r="C15" s="2">
        <v>13192</v>
      </c>
      <c r="D15" s="2">
        <v>17110</v>
      </c>
      <c r="E15" s="2">
        <v>13200</v>
      </c>
      <c r="F15" s="8">
        <f t="shared" si="0"/>
        <v>40.74074074074074</v>
      </c>
      <c r="G15" s="2">
        <v>17000</v>
      </c>
      <c r="H15" s="9">
        <f t="shared" si="1"/>
        <v>52.469135802469133</v>
      </c>
      <c r="I15" s="11">
        <f t="shared" si="2"/>
        <v>30302</v>
      </c>
      <c r="J15" s="11">
        <f t="shared" si="3"/>
        <v>2098</v>
      </c>
      <c r="K15">
        <f t="shared" si="4"/>
        <v>34110</v>
      </c>
      <c r="L15" s="11">
        <f t="shared" si="5"/>
        <v>99.357101110461727</v>
      </c>
    </row>
    <row r="16" spans="1:12" ht="17" x14ac:dyDescent="0.2">
      <c r="A16" s="6" t="s">
        <v>18</v>
      </c>
      <c r="B16" s="2">
        <v>45400</v>
      </c>
      <c r="C16" s="2">
        <v>701</v>
      </c>
      <c r="D16" s="2">
        <v>40169</v>
      </c>
      <c r="E16" s="2">
        <v>18800</v>
      </c>
      <c r="F16" s="8">
        <f t="shared" si="0"/>
        <v>41.409691629955944</v>
      </c>
      <c r="G16" s="2">
        <v>26400</v>
      </c>
      <c r="H16" s="9">
        <f t="shared" si="1"/>
        <v>58.149779735682813</v>
      </c>
      <c r="I16" s="11">
        <f t="shared" si="2"/>
        <v>40870</v>
      </c>
      <c r="J16" s="11">
        <f t="shared" si="3"/>
        <v>4530</v>
      </c>
      <c r="K16">
        <f t="shared" si="4"/>
        <v>66569</v>
      </c>
      <c r="L16" s="11">
        <f t="shared" si="5"/>
        <v>65.722323184545289</v>
      </c>
    </row>
    <row r="17" spans="1:12" ht="17" x14ac:dyDescent="0.2">
      <c r="A17" s="6" t="s">
        <v>19</v>
      </c>
      <c r="B17" s="2">
        <v>511200</v>
      </c>
      <c r="C17" s="2">
        <v>45708</v>
      </c>
      <c r="D17" s="2">
        <v>425308</v>
      </c>
      <c r="E17" s="2">
        <v>135600</v>
      </c>
      <c r="F17" s="8">
        <f t="shared" si="0"/>
        <v>26.525821596244132</v>
      </c>
      <c r="G17" s="2">
        <v>208400</v>
      </c>
      <c r="H17" s="9">
        <f t="shared" si="1"/>
        <v>40.766823161189357</v>
      </c>
      <c r="I17" s="11">
        <f t="shared" si="2"/>
        <v>471016</v>
      </c>
      <c r="J17" s="11">
        <f t="shared" si="3"/>
        <v>40184</v>
      </c>
      <c r="K17">
        <f t="shared" si="4"/>
        <v>633708</v>
      </c>
      <c r="L17" s="11">
        <f t="shared" si="5"/>
        <v>48.999783686175661</v>
      </c>
    </row>
    <row r="18" spans="1:12" ht="17" x14ac:dyDescent="0.2">
      <c r="A18" s="6" t="s">
        <v>20</v>
      </c>
      <c r="B18" s="2">
        <v>27100</v>
      </c>
      <c r="C18" s="2">
        <v>1442</v>
      </c>
      <c r="D18" s="2">
        <v>23851</v>
      </c>
      <c r="E18" s="2">
        <v>17600</v>
      </c>
      <c r="F18" s="8">
        <f t="shared" si="0"/>
        <v>64.944649446494466</v>
      </c>
      <c r="G18" s="2">
        <v>26600</v>
      </c>
      <c r="H18" s="9">
        <f t="shared" si="1"/>
        <v>98.154981549815503</v>
      </c>
      <c r="I18" s="11">
        <f t="shared" si="2"/>
        <v>25293</v>
      </c>
      <c r="J18" s="11">
        <f t="shared" si="3"/>
        <v>1807</v>
      </c>
      <c r="K18">
        <f t="shared" si="4"/>
        <v>50451</v>
      </c>
      <c r="L18" s="11">
        <f t="shared" si="5"/>
        <v>111.52572219194164</v>
      </c>
    </row>
    <row r="19" spans="1:12" ht="17" x14ac:dyDescent="0.2">
      <c r="A19" s="6" t="s">
        <v>21</v>
      </c>
      <c r="B19" s="2">
        <v>44000</v>
      </c>
      <c r="C19" s="2">
        <v>13216</v>
      </c>
      <c r="D19" s="2">
        <v>28687</v>
      </c>
      <c r="E19" s="2">
        <v>13200</v>
      </c>
      <c r="F19" s="8">
        <f t="shared" si="0"/>
        <v>30</v>
      </c>
      <c r="G19" s="2">
        <v>20800</v>
      </c>
      <c r="H19" s="9">
        <f t="shared" si="1"/>
        <v>47.272727272727273</v>
      </c>
      <c r="I19" s="11">
        <f t="shared" si="2"/>
        <v>41903</v>
      </c>
      <c r="J19" s="11">
        <f t="shared" si="3"/>
        <v>2097</v>
      </c>
      <c r="K19">
        <f t="shared" si="4"/>
        <v>49487</v>
      </c>
      <c r="L19" s="11">
        <f t="shared" si="5"/>
        <v>72.506710356607513</v>
      </c>
    </row>
    <row r="20" spans="1:12" ht="17" x14ac:dyDescent="0.2">
      <c r="A20" s="6" t="s">
        <v>22</v>
      </c>
      <c r="B20" s="2">
        <v>20600</v>
      </c>
      <c r="C20" s="2">
        <v>9353</v>
      </c>
      <c r="D20" s="2">
        <v>10434</v>
      </c>
      <c r="E20" s="2">
        <v>4700</v>
      </c>
      <c r="F20" s="8">
        <f t="shared" si="0"/>
        <v>22.815533980582526</v>
      </c>
      <c r="G20" s="2">
        <v>8500</v>
      </c>
      <c r="H20" s="9">
        <f t="shared" si="1"/>
        <v>41.262135922330096</v>
      </c>
      <c r="I20" s="11">
        <f t="shared" si="2"/>
        <v>19787</v>
      </c>
      <c r="J20" s="11">
        <f t="shared" si="3"/>
        <v>813</v>
      </c>
      <c r="K20">
        <f t="shared" si="4"/>
        <v>18934</v>
      </c>
      <c r="L20" s="11">
        <f t="shared" si="5"/>
        <v>81.464443166570817</v>
      </c>
    </row>
    <row r="21" spans="1:12" ht="17" x14ac:dyDescent="0.2">
      <c r="A21" s="6" t="s">
        <v>23</v>
      </c>
      <c r="B21" s="2">
        <v>32800</v>
      </c>
      <c r="C21" s="2">
        <v>14700</v>
      </c>
      <c r="D21" s="2">
        <v>16890</v>
      </c>
      <c r="E21" s="2">
        <v>17000</v>
      </c>
      <c r="F21" s="8">
        <f t="shared" si="0"/>
        <v>51.829268292682926</v>
      </c>
      <c r="G21" s="2">
        <v>26600</v>
      </c>
      <c r="H21" s="9">
        <f t="shared" si="1"/>
        <v>81.097560975609767</v>
      </c>
      <c r="I21" s="11">
        <f t="shared" si="2"/>
        <v>31590</v>
      </c>
      <c r="J21" s="11">
        <f t="shared" si="3"/>
        <v>1210</v>
      </c>
      <c r="K21">
        <f t="shared" si="4"/>
        <v>43490</v>
      </c>
      <c r="L21" s="11">
        <f t="shared" si="5"/>
        <v>157.48963883955003</v>
      </c>
    </row>
    <row r="22" spans="1:12" ht="17" x14ac:dyDescent="0.2">
      <c r="A22" s="6" t="s">
        <v>24</v>
      </c>
      <c r="B22" s="2">
        <v>13100</v>
      </c>
      <c r="C22" s="2">
        <v>5108</v>
      </c>
      <c r="D22" s="2">
        <v>7666</v>
      </c>
      <c r="E22" s="2">
        <v>4700</v>
      </c>
      <c r="F22" s="8">
        <f t="shared" si="0"/>
        <v>35.877862595419849</v>
      </c>
      <c r="G22" s="2">
        <v>8500</v>
      </c>
      <c r="H22" s="9">
        <f t="shared" si="1"/>
        <v>64.885496183206101</v>
      </c>
      <c r="I22" s="11">
        <f t="shared" si="2"/>
        <v>12774</v>
      </c>
      <c r="J22" s="11">
        <f t="shared" si="3"/>
        <v>326</v>
      </c>
      <c r="K22">
        <f t="shared" si="4"/>
        <v>16166</v>
      </c>
      <c r="L22" s="11">
        <f t="shared" si="5"/>
        <v>110.87920688755544</v>
      </c>
    </row>
    <row r="23" spans="1:12" ht="17" x14ac:dyDescent="0.2">
      <c r="A23" s="6" t="s">
        <v>25</v>
      </c>
      <c r="B23" s="2">
        <v>21400</v>
      </c>
      <c r="C23" s="2">
        <v>6933</v>
      </c>
      <c r="D23" s="2">
        <v>13852</v>
      </c>
      <c r="E23" s="2">
        <v>6500</v>
      </c>
      <c r="F23" s="8">
        <f t="shared" si="0"/>
        <v>30.373831775700932</v>
      </c>
      <c r="G23" s="2">
        <v>10300</v>
      </c>
      <c r="H23" s="9">
        <f t="shared" si="1"/>
        <v>48.13084112149533</v>
      </c>
      <c r="I23" s="11">
        <f t="shared" si="2"/>
        <v>20785</v>
      </c>
      <c r="J23" s="11">
        <f t="shared" si="3"/>
        <v>615</v>
      </c>
      <c r="K23">
        <f t="shared" si="4"/>
        <v>24152</v>
      </c>
      <c r="L23" s="11">
        <f t="shared" si="5"/>
        <v>74.357493502743282</v>
      </c>
    </row>
    <row r="24" spans="1:12" ht="17" x14ac:dyDescent="0.2">
      <c r="A24" s="6" t="s">
        <v>26</v>
      </c>
      <c r="B24" s="2">
        <v>14500</v>
      </c>
      <c r="C24" s="2">
        <v>9094</v>
      </c>
      <c r="D24" s="2">
        <v>4737</v>
      </c>
      <c r="E24" s="2">
        <v>7600</v>
      </c>
      <c r="F24" s="8">
        <f t="shared" si="0"/>
        <v>52.413793103448278</v>
      </c>
      <c r="G24" s="2">
        <v>11400</v>
      </c>
      <c r="H24" s="9">
        <f t="shared" si="1"/>
        <v>78.620689655172413</v>
      </c>
      <c r="I24" s="11">
        <f t="shared" si="2"/>
        <v>13831</v>
      </c>
      <c r="J24" s="11">
        <f t="shared" si="3"/>
        <v>669</v>
      </c>
      <c r="K24">
        <f t="shared" si="4"/>
        <v>16137</v>
      </c>
      <c r="L24" s="11">
        <f t="shared" si="5"/>
        <v>240.65864471184292</v>
      </c>
    </row>
    <row r="25" spans="1:12" ht="17" x14ac:dyDescent="0.2">
      <c r="A25" s="6" t="s">
        <v>27</v>
      </c>
      <c r="B25" s="2">
        <v>5200</v>
      </c>
      <c r="C25" s="2">
        <v>2775</v>
      </c>
      <c r="D25" s="2">
        <v>2249</v>
      </c>
      <c r="E25" s="2">
        <v>1900</v>
      </c>
      <c r="F25" s="8">
        <f t="shared" si="0"/>
        <v>36.538461538461533</v>
      </c>
      <c r="G25" s="2">
        <v>3800</v>
      </c>
      <c r="H25" s="9">
        <f t="shared" si="1"/>
        <v>73.076923076923066</v>
      </c>
      <c r="I25" s="11">
        <f t="shared" si="2"/>
        <v>5024</v>
      </c>
      <c r="J25" s="11">
        <f t="shared" si="3"/>
        <v>176</v>
      </c>
      <c r="K25">
        <f t="shared" si="4"/>
        <v>6049</v>
      </c>
      <c r="L25" s="11">
        <f t="shared" si="5"/>
        <v>168.96398399288572</v>
      </c>
    </row>
    <row r="26" spans="1:12" ht="17" x14ac:dyDescent="0.2">
      <c r="A26" s="6" t="s">
        <v>28</v>
      </c>
      <c r="B26" s="2">
        <v>19900</v>
      </c>
      <c r="C26" s="2">
        <v>12754</v>
      </c>
      <c r="D26" s="2">
        <v>6514</v>
      </c>
      <c r="E26" s="2">
        <v>8500</v>
      </c>
      <c r="F26" s="8">
        <f t="shared" si="0"/>
        <v>42.713567839195981</v>
      </c>
      <c r="G26" s="2">
        <v>13200</v>
      </c>
      <c r="H26" s="9">
        <f t="shared" si="1"/>
        <v>66.331658291457288</v>
      </c>
      <c r="I26" s="11">
        <f t="shared" si="2"/>
        <v>19268</v>
      </c>
      <c r="J26" s="11">
        <f t="shared" si="3"/>
        <v>632</v>
      </c>
      <c r="K26">
        <f t="shared" si="4"/>
        <v>19714</v>
      </c>
      <c r="L26" s="11">
        <f t="shared" si="5"/>
        <v>202.64046668713542</v>
      </c>
    </row>
    <row r="27" spans="1:12" ht="17" x14ac:dyDescent="0.2">
      <c r="A27" s="6" t="s">
        <v>29</v>
      </c>
      <c r="B27" s="2">
        <v>19600</v>
      </c>
      <c r="C27" s="2">
        <v>13131</v>
      </c>
      <c r="D27" s="2">
        <v>5407</v>
      </c>
      <c r="E27" s="2">
        <v>9400</v>
      </c>
      <c r="F27" s="8">
        <f t="shared" si="0"/>
        <v>47.959183673469383</v>
      </c>
      <c r="G27" s="2">
        <v>13200</v>
      </c>
      <c r="H27" s="9">
        <f t="shared" si="1"/>
        <v>67.346938775510196</v>
      </c>
      <c r="I27" s="11">
        <f t="shared" si="2"/>
        <v>18538</v>
      </c>
      <c r="J27" s="11">
        <f t="shared" si="3"/>
        <v>1062</v>
      </c>
      <c r="K27">
        <f t="shared" si="4"/>
        <v>18607</v>
      </c>
      <c r="L27" s="11">
        <f t="shared" si="5"/>
        <v>244.12798224523766</v>
      </c>
    </row>
    <row r="30" spans="1:12" ht="17" x14ac:dyDescent="0.2">
      <c r="A30" s="1"/>
    </row>
    <row r="31" spans="1:12" ht="17" x14ac:dyDescent="0.2">
      <c r="A31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Tabelle1!_ftnref1</vt:lpstr>
      <vt:lpstr>Tabelle1!_ftnref2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Mika Haag</dc:creator>
  <cp:lastModifiedBy>Jonathan Mika Haag</cp:lastModifiedBy>
  <dcterms:created xsi:type="dcterms:W3CDTF">2026-04-17T21:23:58Z</dcterms:created>
  <dcterms:modified xsi:type="dcterms:W3CDTF">2026-04-22T10:33:37Z</dcterms:modified>
</cp:coreProperties>
</file>